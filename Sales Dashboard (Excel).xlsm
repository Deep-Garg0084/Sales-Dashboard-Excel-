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graw\OneDrive\Documents\"/>
    </mc:Choice>
  </mc:AlternateContent>
  <xr:revisionPtr revIDLastSave="0" documentId="13_ncr:1_{DA5BEEC1-0D7B-4C9E-ACBD-5BF936AFE1E2}" xr6:coauthVersionLast="47" xr6:coauthVersionMax="47" xr10:uidLastSave="{00000000-0000-0000-0000-000000000000}"/>
  <bookViews>
    <workbookView xWindow="-110" yWindow="-110" windowWidth="19420" windowHeight="11500" xr2:uid="{F9336C06-0801-4A76-9586-9F72602090A0}"/>
  </bookViews>
  <sheets>
    <sheet name="DB" sheetId="2"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K95" i="1"/>
  <c r="L95" i="1" s="1"/>
  <c r="I95" i="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K84" i="1"/>
  <c r="L84" i="1" s="1"/>
  <c r="I84" i="1"/>
  <c r="I83" i="1"/>
  <c r="K83" i="1" s="1"/>
  <c r="L83" i="1" s="1"/>
  <c r="I82" i="1"/>
  <c r="K82" i="1" s="1"/>
  <c r="L82" i="1" s="1"/>
  <c r="I81" i="1"/>
  <c r="K81" i="1" s="1"/>
  <c r="L81" i="1" s="1"/>
  <c r="I80" i="1"/>
  <c r="K80" i="1" s="1"/>
  <c r="L80" i="1" s="1"/>
  <c r="K79" i="1"/>
  <c r="L79" i="1" s="1"/>
  <c r="I79" i="1"/>
  <c r="I78" i="1"/>
  <c r="K78" i="1" s="1"/>
  <c r="L78" i="1" s="1"/>
  <c r="I77" i="1"/>
  <c r="K77" i="1" s="1"/>
  <c r="L77" i="1" s="1"/>
  <c r="I76" i="1"/>
  <c r="K76" i="1" s="1"/>
  <c r="L76" i="1" s="1"/>
  <c r="I75" i="1"/>
  <c r="K75" i="1" s="1"/>
  <c r="L75" i="1" s="1"/>
  <c r="I74" i="1"/>
  <c r="K74" i="1" s="1"/>
  <c r="L74" i="1" s="1"/>
  <c r="K73" i="1"/>
  <c r="L73" i="1" s="1"/>
  <c r="I73" i="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K59" i="1"/>
  <c r="L59" i="1" s="1"/>
  <c r="I59" i="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K49" i="1"/>
  <c r="L49" i="1" s="1"/>
  <c r="I49" i="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K35" i="1"/>
  <c r="L35" i="1" s="1"/>
  <c r="I35" i="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K25" i="1"/>
  <c r="L25" i="1" s="1"/>
  <c r="I25" i="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K11" i="1"/>
  <c r="L11" i="1" s="1"/>
  <c r="I11" i="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<sst xmlns="http://schemas.openxmlformats.org/spreadsheetml/2006/main" count="463" uniqueCount="307">
  <si>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</si>
  <si>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</si>
  <si>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</si>
  <si>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</si>
  <si>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</si>
  <si>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</si>
  <si>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</si>
  <si>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</si>
  <si>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</si>
  <si>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</si>
  <si>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</si>
  <si>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</si>
  <si>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</si>
  <si>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</si>
  <si>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</si>
  <si>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</si>
  <si>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</si>
  <si>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</si>
  <si>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</si>
  <si>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</si>
  <si>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</si>
  <si>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</si>
  <si>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</si>
  <si>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</si>
  <si>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</si>
  <si>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</si>
  <si>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</si>
  <si>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</si>
  <si>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</si>
  <si>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</si>
  <si>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</si>
  <si>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</si>
  <si>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</si>
  <si>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</si>
  <si>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</si>
  <si>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</si>
  <si>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</si>
  <si>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</si>
  <si>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</si>
  <si>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</si>
  <si>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</si>
  <si>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</si>
  <si>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</si>
  <si>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</si>
  <si>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</si>
  <si>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</si>
  <si>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</si>
  <si>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</si>
  <si>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</si>
  <si>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</si>
  <si>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</si>
  <si>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</si>
  <si>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</si>
  <si>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</si>
  <si>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</si>
  <si>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</si>
  <si>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</si>
  <si>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</si>
  <si>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</si>
  <si>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</si>
  <si>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</si>
  <si>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</si>
  <si>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</si>
  <si>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</si>
  <si>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</si>
  <si>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</si>
  <si>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</si>
  <si>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</si>
  <si>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</si>
  <si>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</si>
  <si>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</si>
  <si>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</si>
  <si>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</si>
  <si>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</si>
  <si>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</si>
  <si>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</si>
  <si>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</si>
  <si>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</si>
  <si>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</si>
  <si>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</si>
  <si>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</si>
  <si>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</si>
  <si>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</si>
  <si>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</si>
  <si>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</si>
  <si>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</si>
  <si>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</si>
  <si>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</si>
  <si>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</si>
  <si>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</si>
  <si>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</si>
  <si>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</si>
  <si>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</si>
  <si>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</si>
  <si>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</si>
  <si>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</si>
  <si>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</si>
  <si>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</si>
  <si>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</si>
  <si>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</si>
  <si>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</si>
  <si>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</si>
  <si>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</si>
  <si>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</si>
  <si>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</si>
  <si>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</si>
  <si>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</si>
  <si>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</si>
  <si>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</si>
  <si>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</si>
  <si>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</si>
  <si>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</si>
  <si>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</si>
  <si>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</si>
  <si>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</si>
  <si>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</si>
  <si>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</si>
  <si>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</si>
  <si>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</si>
  <si>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</si>
  <si>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</si>
  <si>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</si>
  <si>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</si>
  <si>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</si>
  <si>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</si>
  <si>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</si>
  <si>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</si>
  <si>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</si>
  <si>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</si>
  <si>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</si>
  <si>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</si>
  <si>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</si>
  <si>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</si>
  <si>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</si>
  <si>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</si>
  <si>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</si>
  <si>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</si>
  <si>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</si>
  <si>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</si>
  <si>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</si>
  <si>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</si>
  <si>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</si>
  <si>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</si>
  <si>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</si>
  <si>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</si>
  <si>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</si>
  <si>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</si>
  <si>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</si>
  <si>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</si>
  <si>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</si>
  <si>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</si>
  <si>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</si>
  <si>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</si>
  <si>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</si>
  <si>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</si>
  <si>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</si>
  <si>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</si>
  <si>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</si>
  <si>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</si>
  <si>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</si>
  <si>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</si>
  <si>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</si>
  <si>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</si>
  <si>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</si>
  <si>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</si>
  <si>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</si>
  <si>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</si>
  <si>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</si>
  <si>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</si>
  <si>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</si>
  <si>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</si>
  <si>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</si>
  <si>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</si>
  <si>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</si>
  <si>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</si>
  <si>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</si>
  <si>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</si>
  <si>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</si>
  <si>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</si>
  <si>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</si>
  <si>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</si>
  <si>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</si>
  <si>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</si>
  <si>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</si>
  <si>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</si>
  <si>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</si>
  <si>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</si>
  <si>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</si>
  <si>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</si>
  <si>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</si>
  <si>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</si>
  <si>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</si>
  <si>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</si>
  <si>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</si>
  <si>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</si>
  <si>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</si>
  <si>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</si>
  <si>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</si>
  <si>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</si>
  <si>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</si>
  <si>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</si>
  <si>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</si>
  <si>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</si>
  <si>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</si>
  <si>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</si>
  <si>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</si>
  <si>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</si>
  <si>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</si>
  <si>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</si>
  <si>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</si>
  <si>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</si>
  <si>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</si>
  <si>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</si>
  <si>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</si>
  <si>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</si>
  <si>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</si>
  <si>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</si>
  <si>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</si>
  <si>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</si>
  <si>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</si>
  <si>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</si>
  <si>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</si>
  <si>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</si>
  <si>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</si>
  <si>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</si>
  <si>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</si>
  <si>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</si>
  <si>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</si>
  <si>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</si>
  <si>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</si>
  <si>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</si>
  <si>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</si>
  <si>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</si>
  <si>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</si>
  <si>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</si>
  <si>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</si>
  <si>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</si>
  <si>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</si>
  <si>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</si>
  <si>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</si>
  <si>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</si>
  <si>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</si>
  <si>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</si>
  <si>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</si>
  <si>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</si>
  <si>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</si>
  <si>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</si>
  <si>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</si>
  <si>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</si>
  <si>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</si>
  <si>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</si>
  <si>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</si>
  <si>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</si>
  <si>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</si>
  <si>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</si>
  <si>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</si>
  <si>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</si>
  <si>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</si>
  <si>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</si>
  <si>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</si>
  <si>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</si>
  <si>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</si>
  <si>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</si>
  <si>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</si>
  <si>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</si>
  <si>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</si>
  <si>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</si>
  <si>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</si>
  <si>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</si>
  <si>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</si>
  <si>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</si>
  <si>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</si>
  <si>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</si>
  <si>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</si>
  <si>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</si>
  <si>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</si>
  <si>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</si>
  <si>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</si>
  <si>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</si>
  <si>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</si>
  <si>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</si>
  <si>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</si>
  <si>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</si>
  <si>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</si>
  <si>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</si>
  <si>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</si>
  <si>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</si>
  <si>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</si>
  <si>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</si>
  <si>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</si>
  <si>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</si>
  <si>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</si>
  <si>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</si>
  <si>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</si>
  <si>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</si>
  <si>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</si>
  <si>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</si>
  <si>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</si>
  <si>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</si>
  <si>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</si>
  <si>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</si>
  <si>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</si>
  <si>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Sales Executive </t>
  </si>
  <si>
    <t xml:space="preserve">Total Sales </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</si>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</sst>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patternFill>
      </fill>
    </dxf>
  </dxfs>
  <tableStyles count="1" defaultTableStyle="TableStyleMedium2" defaultPivotStyle="PivotStyleLight16">
    <tableStyle name="Slicer Style 1" pivot="0" table="0" count="6" xr9:uid="{8259C015-73B9-423D-B645-5195C4A04985}">
      <tableStyleElement type="wholeTable" dxfId="0"/>
    </tableStyle>
  </tableStyles>
  <extLst>
    <ext xmlns:x14="http://schemas.microsoft.com/office/spreadsheetml/2009/9/main" uri="{46F421CA-312F-682f-3DD2-61675219B42D}">
      <x14:dxfs count="5">
        <dxf>
          <fill>
            <patternFill>
              <bgColor theme="8" tint="0.39994506668294322"/>
            </patternFill>
          </fill>
        </dxf>
        <dxf>
          <fill>
            <patternFill>
              <bgColor theme="8" tint="0.39994506668294322"/>
            </patternFill>
          </fill>
        </dxf>
        <dxf>
          <fill>
            <patternFill>
              <bgColor theme="8" tint="0.39994506668294322"/>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Project1.xlsm]DB!PivotTable1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DB!$B$3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DB!$A$4:$A$8</c:f>
              <c:strCache>
                <c:ptCount val="5"/>
                <c:pt idx="0">
                  <c:v>Afzal Husain</c:v>
                </c:pt>
                <c:pt idx="1">
                  <c:v>Kavita Sharma</c:v>
                </c:pt>
                <c:pt idx="2">
                  <c:v>Miny Mole</c:v>
                </c:pt>
                <c:pt idx="3">
                  <c:v>Shailendra Barge</c:v>
                </c:pt>
                <c:pt idx="4">
                  <c:v>Surendra Kumar</c:v>
                </c:pt>
              </c:strCache>
            </c:strRef>
          </c:cat>
          <c:val>
            <c:numRef>
              <c:f>DB!$B$4:$B$8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A189-4AF0-A509-09B1C9B1E4E9}"/>
            </c:ext>
          </c:extLst>
        </c:ser>
        <c:dLbls>
          <c:showLegendKey val="0"/>
          <c:showVal val="0"/>
          <c:showCatName val="0"/>
          <c:showSerName val="0"/>
          <c:showPercent val="0"/>
          <c:showBubbleSize val="0"/>
        </c:dLbls>
        <c:gapWidth val="182"/>
        <c:axId val="534324655"/>
        <c:axId val="534335695"/>
      </c:barChart>
      <c:catAx>
        <c:axId val="5343246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335695"/>
        <c:crosses val="autoZero"/>
        <c:auto val="1"/>
        <c:lblAlgn val="ctr"/>
        <c:lblOffset val="100"/>
        <c:noMultiLvlLbl val="0"/>
      </c:catAx>
      <c:valAx>
        <c:axId val="534335695"/>
        <c:scaling>
          <c:orientation val="minMax"/>
        </c:scaling>
        <c:delete val="1"/>
        <c:axPos val="b"/>
        <c:numFmt formatCode="General" sourceLinked="1"/>
        <c:majorTickMark val="none"/>
        <c:minorTickMark val="none"/>
        <c:tickLblPos val="nextTo"/>
        <c:crossAx val="5343246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Project1.xlsm]DB!PivotTable3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DB!$H$3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AC4-439F-8F2B-3AFC9D5F278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AC4-439F-8F2B-3AFC9D5F278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AC4-439F-8F2B-3AFC9D5F278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AC4-439F-8F2B-3AFC9D5F278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8AC4-439F-8F2B-3AFC9D5F278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DB!$G$4:$G$8</c:f>
              <c:strCache>
                <c:ptCount val="5"/>
                <c:pt idx="0">
                  <c:v>Afzal Husain</c:v>
                </c:pt>
                <c:pt idx="1">
                  <c:v>Kavita Sharma</c:v>
                </c:pt>
                <c:pt idx="2">
                  <c:v>Miny Mole</c:v>
                </c:pt>
                <c:pt idx="3">
                  <c:v>Shailendra Barge</c:v>
                </c:pt>
                <c:pt idx="4">
                  <c:v>Surendra Kumar</c:v>
                </c:pt>
              </c:strCache>
            </c:strRef>
          </c:cat>
          <c:val>
            <c:numRef>
              <c:f>DB!$H$4:$H$8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9677-4196-94C1-9046E45E63F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Project1.xlsm]DB!PivotTable4</c:name>
    <c:fmtId val="4"/>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DB!$K$3</c:f>
              <c:strCache>
                <c:ptCount val="1"/>
                <c:pt idx="0">
                  <c:v>Total</c:v>
                </c:pt>
              </c:strCache>
            </c:strRef>
          </c:tx>
          <c:spPr>
            <a:solidFill>
              <a:schemeClr val="accent1"/>
            </a:solidFill>
            <a:ln>
              <a:noFill/>
            </a:ln>
            <a:effectLst/>
          </c:spP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DB!$J$4:$J$8</c:f>
              <c:strCache>
                <c:ptCount val="5"/>
                <c:pt idx="0">
                  <c:v>Afzal Husain</c:v>
                </c:pt>
                <c:pt idx="1">
                  <c:v>Kavita Sharma</c:v>
                </c:pt>
                <c:pt idx="2">
                  <c:v>Miny Mole</c:v>
                </c:pt>
                <c:pt idx="3">
                  <c:v>Shailendra Barge</c:v>
                </c:pt>
                <c:pt idx="4">
                  <c:v>Surendra Kumar</c:v>
                </c:pt>
              </c:strCache>
            </c:strRef>
          </c:cat>
          <c:val>
            <c:numRef>
              <c:f>DB!$K$4:$K$8</c:f>
              <c:numCache>
                <c:formatCode>0.00%</c:formatCode>
                <c:ptCount val="5"/>
                <c:pt idx="0">
                  <c:v>0.36799999999999999</c:v>
                </c:pt>
                <c:pt idx="1">
                  <c:v>0.36399999999999999</c:v>
                </c:pt>
                <c:pt idx="2">
                  <c:v>0.23199999999999998</c:v>
                </c:pt>
                <c:pt idx="3">
                  <c:v>0.35199999999999998</c:v>
                </c:pt>
                <c:pt idx="4">
                  <c:v>0.248</c:v>
                </c:pt>
              </c:numCache>
            </c:numRef>
          </c:val>
          <c:extLst>
            <c:ext xmlns:c16="http://schemas.microsoft.com/office/drawing/2014/chart" uri="{C3380CC4-5D6E-409C-BE32-E72D297353CC}">
              <c16:uniqueId val="{00000000-C08E-4093-BBB2-F9885C81A064}"/>
            </c:ext>
          </c:extLst>
        </c:ser>
        <c:dLbls>
          <c:showLegendKey val="0"/>
          <c:showVal val="0"/>
          <c:showCatName val="0"/>
          <c:showSerName val="0"/>
          <c:showPercent val="0"/>
          <c:showBubbleSize val="0"/>
        </c:dLbls>
        <c:axId val="534340975"/>
        <c:axId val="534343855"/>
      </c:areaChart>
      <c:catAx>
        <c:axId val="5343409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343855"/>
        <c:crosses val="autoZero"/>
        <c:auto val="1"/>
        <c:lblAlgn val="ctr"/>
        <c:lblOffset val="100"/>
        <c:noMultiLvlLbl val="0"/>
      </c:catAx>
      <c:valAx>
        <c:axId val="534343855"/>
        <c:scaling>
          <c:orientation val="minMax"/>
        </c:scaling>
        <c:delete val="1"/>
        <c:axPos val="l"/>
        <c:numFmt formatCode="0.00%" sourceLinked="1"/>
        <c:majorTickMark val="none"/>
        <c:minorTickMark val="none"/>
        <c:tickLblPos val="nextTo"/>
        <c:crossAx val="53434097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6350</xdr:colOff>
      <xdr:row>1</xdr:row>
      <xdr:rowOff>222250</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8DAF33AF-7B1E-0521-F380-D3CD470D314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8788400" cy="406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12700</xdr:colOff>
      <xdr:row>8</xdr:row>
      <xdr:rowOff>38100</xdr:rowOff>
    </xdr:from>
    <xdr:to>
      <xdr:col>5</xdr:col>
      <xdr:colOff>0</xdr:colOff>
      <xdr:row>19</xdr:row>
      <xdr:rowOff>133350</xdr:rowOff>
    </xdr:to>
    <xdr:graphicFrame macro="">
      <xdr:nvGraphicFramePr>
        <xdr:cNvPr id="3" name="Chart 2">
          <a:extLst>
            <a:ext uri="{FF2B5EF4-FFF2-40B4-BE49-F238E27FC236}">
              <a16:creationId xmlns:a16="http://schemas.microsoft.com/office/drawing/2014/main" id="{B8B4BA42-F9E8-1CB2-558E-EDC725EAE5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8</xdr:row>
      <xdr:rowOff>38100</xdr:rowOff>
    </xdr:from>
    <xdr:to>
      <xdr:col>8</xdr:col>
      <xdr:colOff>6350</xdr:colOff>
      <xdr:row>19</xdr:row>
      <xdr:rowOff>120650</xdr:rowOff>
    </xdr:to>
    <xdr:graphicFrame macro="">
      <xdr:nvGraphicFramePr>
        <xdr:cNvPr id="4" name="Chart 3">
          <a:extLst>
            <a:ext uri="{FF2B5EF4-FFF2-40B4-BE49-F238E27FC236}">
              <a16:creationId xmlns:a16="http://schemas.microsoft.com/office/drawing/2014/main" id="{5DB99ED2-1060-374C-8AEB-77342DD0B3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66675</xdr:colOff>
      <xdr:row>8</xdr:row>
      <xdr:rowOff>44450</xdr:rowOff>
    </xdr:from>
    <xdr:to>
      <xdr:col>11</xdr:col>
      <xdr:colOff>0</xdr:colOff>
      <xdr:row>19</xdr:row>
      <xdr:rowOff>95250</xdr:rowOff>
    </xdr:to>
    <xdr:graphicFrame macro="">
      <xdr:nvGraphicFramePr>
        <xdr:cNvPr id="7" name="Chart 6">
          <a:extLst>
            <a:ext uri="{FF2B5EF4-FFF2-40B4-BE49-F238E27FC236}">
              <a16:creationId xmlns:a16="http://schemas.microsoft.com/office/drawing/2014/main" id="{B0456181-1C6C-552D-E59B-F74D9E117D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336550</xdr:colOff>
      <xdr:row>1</xdr:row>
      <xdr:rowOff>254000</xdr:rowOff>
    </xdr:from>
    <xdr:to>
      <xdr:col>1</xdr:col>
      <xdr:colOff>381000</xdr:colOff>
      <xdr:row>1</xdr:row>
      <xdr:rowOff>647700</xdr:rowOff>
    </xdr:to>
    <xdr:sp macro="" textlink="">
      <xdr:nvSpPr>
        <xdr:cNvPr id="8" name="Speech Bubble: Rectangle with Corners Rounded 7">
          <a:extLst>
            <a:ext uri="{FF2B5EF4-FFF2-40B4-BE49-F238E27FC236}">
              <a16:creationId xmlns:a16="http://schemas.microsoft.com/office/drawing/2014/main" id="{38807657-4C3A-8920-FD64-6D3AF6911098}"/>
            </a:ext>
          </a:extLst>
        </xdr:cNvPr>
        <xdr:cNvSpPr/>
      </xdr:nvSpPr>
      <xdr:spPr>
        <a:xfrm>
          <a:off x="336550" y="438150"/>
          <a:ext cx="1174750" cy="3937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488950</xdr:colOff>
          <xdr:row>1</xdr:row>
          <xdr:rowOff>330200</xdr:rowOff>
        </xdr:from>
        <xdr:to>
          <xdr:col>1</xdr:col>
          <xdr:colOff>196850</xdr:colOff>
          <xdr:row>1</xdr:row>
          <xdr:rowOff>571500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368300</xdr:colOff>
      <xdr:row>1</xdr:row>
      <xdr:rowOff>254000</xdr:rowOff>
    </xdr:from>
    <xdr:to>
      <xdr:col>4</xdr:col>
      <xdr:colOff>412750</xdr:colOff>
      <xdr:row>1</xdr:row>
      <xdr:rowOff>647700</xdr:rowOff>
    </xdr:to>
    <xdr:sp macro="" textlink="">
      <xdr:nvSpPr>
        <xdr:cNvPr id="9" name="Speech Bubble: Rectangle with Corners Rounded 8">
          <a:extLst>
            <a:ext uri="{FF2B5EF4-FFF2-40B4-BE49-F238E27FC236}">
              <a16:creationId xmlns:a16="http://schemas.microsoft.com/office/drawing/2014/main" id="{D62E6430-4D0D-441F-AA74-79772B55D1E7}"/>
            </a:ext>
          </a:extLst>
        </xdr:cNvPr>
        <xdr:cNvSpPr/>
      </xdr:nvSpPr>
      <xdr:spPr>
        <a:xfrm>
          <a:off x="2273300" y="438150"/>
          <a:ext cx="1174750" cy="3937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539750</xdr:colOff>
          <xdr:row>1</xdr:row>
          <xdr:rowOff>330200</xdr:rowOff>
        </xdr:from>
        <xdr:to>
          <xdr:col>4</xdr:col>
          <xdr:colOff>317500</xdr:colOff>
          <xdr:row>1</xdr:row>
          <xdr:rowOff>590550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476250</xdr:colOff>
      <xdr:row>1</xdr:row>
      <xdr:rowOff>254000</xdr:rowOff>
    </xdr:from>
    <xdr:to>
      <xdr:col>7</xdr:col>
      <xdr:colOff>520700</xdr:colOff>
      <xdr:row>1</xdr:row>
      <xdr:rowOff>647700</xdr:rowOff>
    </xdr:to>
    <xdr:sp macro="" textlink="">
      <xdr:nvSpPr>
        <xdr:cNvPr id="10" name="Speech Bubble: Rectangle with Corners Rounded 9">
          <a:extLst>
            <a:ext uri="{FF2B5EF4-FFF2-40B4-BE49-F238E27FC236}">
              <a16:creationId xmlns:a16="http://schemas.microsoft.com/office/drawing/2014/main" id="{F17623DC-639C-4640-9F69-D7791F6E908E}"/>
            </a:ext>
          </a:extLst>
        </xdr:cNvPr>
        <xdr:cNvSpPr/>
      </xdr:nvSpPr>
      <xdr:spPr>
        <a:xfrm>
          <a:off x="4292600" y="438150"/>
          <a:ext cx="1174750" cy="3937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660400</xdr:colOff>
          <xdr:row>1</xdr:row>
          <xdr:rowOff>361950</xdr:rowOff>
        </xdr:from>
        <xdr:to>
          <xdr:col>7</xdr:col>
          <xdr:colOff>298450</xdr:colOff>
          <xdr:row>1</xdr:row>
          <xdr:rowOff>539750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590550</xdr:colOff>
      <xdr:row>1</xdr:row>
      <xdr:rowOff>260350</xdr:rowOff>
    </xdr:from>
    <xdr:to>
      <xdr:col>10</xdr:col>
      <xdr:colOff>635000</xdr:colOff>
      <xdr:row>1</xdr:row>
      <xdr:rowOff>654050</xdr:rowOff>
    </xdr:to>
    <xdr:sp macro="" textlink="">
      <xdr:nvSpPr>
        <xdr:cNvPr id="11" name="Speech Bubble: Rectangle with Corners Rounded 10">
          <a:extLst>
            <a:ext uri="{FF2B5EF4-FFF2-40B4-BE49-F238E27FC236}">
              <a16:creationId xmlns:a16="http://schemas.microsoft.com/office/drawing/2014/main" id="{EBA390A5-E4DF-4E35-A1BF-46A00565B5AE}"/>
            </a:ext>
          </a:extLst>
        </xdr:cNvPr>
        <xdr:cNvSpPr/>
      </xdr:nvSpPr>
      <xdr:spPr>
        <a:xfrm>
          <a:off x="6680200" y="444500"/>
          <a:ext cx="1174750" cy="3937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742950</xdr:colOff>
          <xdr:row>1</xdr:row>
          <xdr:rowOff>336550</xdr:rowOff>
        </xdr:from>
        <xdr:to>
          <xdr:col>10</xdr:col>
          <xdr:colOff>419100</xdr:colOff>
          <xdr:row>1</xdr:row>
          <xdr:rowOff>584200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ep Garg" refreshedDate="45735.996199305555" createdVersion="8" refreshedVersion="8" minRefreshableVersion="3" recordCount="141" xr:uid="{D27FC2E2-2BBE-4069-85EC-67345FA67FAF}">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8329654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EDF1F7-24E3-4D47-9511-EF66FCE42C67}"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8"/>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F49DB66-9A68-40DA-95C5-7B00DBF0FCDE}"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
    </i>
    <i>
      <x v="43"/>
    </i>
    <i>
      <x v="59"/>
    </i>
    <i>
      <x v="116"/>
    </i>
    <i>
      <x v="132"/>
    </i>
  </rowItems>
  <colItems count="1">
    <i/>
  </colItems>
  <dataFields count="1">
    <dataField name="Away From Target % wise" fld="11" baseField="1" baseItem="38" numFmtId="10"/>
  </dataFields>
  <chartFormats count="1">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5CB6587-AF58-497B-BF5A-CEF3F8C4F275}"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38" numFmtId="10"/>
  </dataFields>
  <chartFormats count="2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43"/>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116"/>
          </reference>
        </references>
      </pivotArea>
    </chartFormat>
    <chartFormat chart="0" format="5">
      <pivotArea type="data" outline="0" fieldPosition="0">
        <references count="2">
          <reference field="4294967294" count="1" selected="0">
            <x v="0"/>
          </reference>
          <reference field="1" count="1" selected="0">
            <x v="132"/>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79"/>
          </reference>
        </references>
      </pivotArea>
    </chartFormat>
    <chartFormat chart="0" format="10">
      <pivotArea type="data" outline="0" fieldPosition="0">
        <references count="2">
          <reference field="4294967294" count="1" selected="0">
            <x v="0"/>
          </reference>
          <reference field="1" count="1" selected="0">
            <x v="5"/>
          </reference>
        </references>
      </pivotArea>
    </chartFormat>
    <chartFormat chart="0" format="11">
      <pivotArea type="data" outline="0" fieldPosition="0">
        <references count="2">
          <reference field="4294967294" count="1" selected="0">
            <x v="0"/>
          </reference>
          <reference field="1" count="1" selected="0">
            <x v="23"/>
          </reference>
        </references>
      </pivotArea>
    </chartFormat>
    <chartFormat chart="0" format="12">
      <pivotArea type="data" outline="0" fieldPosition="0">
        <references count="2">
          <reference field="4294967294" count="1" selected="0">
            <x v="0"/>
          </reference>
          <reference field="1" count="1" selected="0">
            <x v="63"/>
          </reference>
        </references>
      </pivotArea>
    </chartFormat>
    <chartFormat chart="0" format="13">
      <pivotArea type="data" outline="0" fieldPosition="0">
        <references count="2">
          <reference field="4294967294" count="1" selected="0">
            <x v="0"/>
          </reference>
          <reference field="1" count="1" selected="0">
            <x v="38"/>
          </reference>
        </references>
      </pivotArea>
    </chartFormat>
    <chartFormat chart="0" format="14">
      <pivotArea type="data" outline="0" fieldPosition="0">
        <references count="2">
          <reference field="4294967294" count="1" selected="0">
            <x v="0"/>
          </reference>
          <reference field="1" count="1" selected="0">
            <x v="62"/>
          </reference>
        </references>
      </pivotArea>
    </chartFormat>
    <chartFormat chart="0" format="15">
      <pivotArea type="data" outline="0" fieldPosition="0">
        <references count="2">
          <reference field="4294967294" count="1" selected="0">
            <x v="0"/>
          </reference>
          <reference field="1" count="1" selected="0">
            <x v="82"/>
          </reference>
        </references>
      </pivotArea>
    </chartFormat>
    <chartFormat chart="0" format="16">
      <pivotArea type="data" outline="0" fieldPosition="0">
        <references count="2">
          <reference field="4294967294" count="1" selected="0">
            <x v="0"/>
          </reference>
          <reference field="1" count="1" selected="0">
            <x v="111"/>
          </reference>
        </references>
      </pivotArea>
    </chartFormat>
    <chartFormat chart="0" format="17">
      <pivotArea type="data" outline="0" fieldPosition="0">
        <references count="2">
          <reference field="4294967294" count="1" selected="0">
            <x v="0"/>
          </reference>
          <reference field="1" count="1" selected="0">
            <x v="119"/>
          </reference>
        </references>
      </pivotArea>
    </chartFormat>
    <chartFormat chart="0" format="18">
      <pivotArea type="data" outline="0" fieldPosition="0">
        <references count="2">
          <reference field="4294967294" count="1" selected="0">
            <x v="0"/>
          </reference>
          <reference field="1" count="1" selected="0">
            <x v="10"/>
          </reference>
        </references>
      </pivotArea>
    </chartFormat>
    <chartFormat chart="0" format="19">
      <pivotArea type="data" outline="0" fieldPosition="0">
        <references count="2">
          <reference field="4294967294" count="1" selected="0">
            <x v="0"/>
          </reference>
          <reference field="1" count="1" selected="0">
            <x v="36"/>
          </reference>
        </references>
      </pivotArea>
    </chartFormat>
    <chartFormat chart="0" format="20">
      <pivotArea type="data" outline="0" fieldPosition="0">
        <references count="2">
          <reference field="4294967294" count="1" selected="0">
            <x v="0"/>
          </reference>
          <reference field="1" count="1" selected="0">
            <x v="76"/>
          </reference>
        </references>
      </pivotArea>
    </chartFormat>
    <chartFormat chart="0" format="21">
      <pivotArea type="data" outline="0" fieldPosition="0">
        <references count="2">
          <reference field="4294967294" count="1" selected="0">
            <x v="0"/>
          </reference>
          <reference field="1" count="1" selected="0">
            <x v="117"/>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CD04E74-DDDE-4476-8D81-092B5593901A}"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46"/>
  </dataFields>
  <pivotTableStyleInfo name="PivotStyleLight16"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BEABD8C-B1B1-4D1E-95AE-0760C22CDA8B}" sourceName="Region">
  <pivotTables>
    <pivotTable tabId="2" name="PivotTable1"/>
    <pivotTable tabId="2" name="PivotTable4"/>
    <pivotTable tabId="2" name="PivotTable2"/>
    <pivotTable tabId="2" name="PivotTable3"/>
  </pivotTables>
  <data>
    <tabular pivotCacheId="1832965497">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6CE518B-84D9-46C1-B431-61EF3F4C385D}"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EBE3A-23EB-482E-994D-AD02FC92BB2C}">
  <sheetPr codeName="Sheet1"/>
  <dimension ref="A1:K20"/>
  <sheetViews>
    <sheetView showGridLines="0" showRowColHeaders="0" tabSelected="1" topLeftCell="A2" workbookViewId="0">
      <selection activeCell="Z14" sqref="Z14"/>
    </sheetView>
  </sheetViews>
  <sheetFormatPr defaultRowHeight="14.5" x14ac:dyDescent="0.35"/>
  <cols>
    <col min="1" max="1" width="16.1796875" bestFit="1" customWidth="1"/>
    <col min="2" max="2" width="10.1796875" bestFit="1" customWidth="1"/>
    <col min="3" max="3" width="0.90625" customWidth="1"/>
    <col min="4" max="4" width="16.1796875" bestFit="1" customWidth="1"/>
    <col min="5" max="5" width="10.6328125" bestFit="1" customWidth="1"/>
    <col min="6" max="6" width="0.54296875" customWidth="1"/>
    <col min="7" max="7" width="16.1796875" bestFit="1" customWidth="1"/>
    <col min="8" max="8" width="15.26953125" bestFit="1" customWidth="1"/>
    <col min="9" max="9" width="1.08984375" customWidth="1"/>
    <col min="10" max="10" width="16.1796875" bestFit="1" customWidth="1"/>
    <col min="11" max="11" width="22.36328125" bestFit="1" customWidth="1"/>
  </cols>
  <sheetData>
    <row r="1" spans="1:11" x14ac:dyDescent="0.35">
      <c r="A1" s="12" t="b">
        <v>1</v>
      </c>
      <c r="B1" s="12"/>
      <c r="C1" s="12"/>
      <c r="D1" s="12" t="b">
        <v>1</v>
      </c>
      <c r="E1" s="12"/>
      <c r="F1" s="12"/>
      <c r="G1" s="12" t="b">
        <v>1</v>
      </c>
      <c r="H1" s="12"/>
      <c r="I1" s="12"/>
      <c r="J1" s="12" t="b">
        <v>1</v>
      </c>
      <c r="K1" s="12"/>
    </row>
    <row r="2" spans="1:11" ht="56.5" customHeight="1" x14ac:dyDescent="0.35">
      <c r="A2" s="12"/>
      <c r="B2" s="12"/>
      <c r="C2" s="12"/>
      <c r="D2" s="12"/>
      <c r="E2" s="12"/>
      <c r="F2" s="12"/>
      <c r="G2" s="12"/>
      <c r="H2" s="12"/>
      <c r="I2" s="12"/>
      <c r="J2" s="12"/>
      <c r="K2" s="12"/>
    </row>
    <row r="3" spans="1:11" x14ac:dyDescent="0.35">
      <c r="A3" s="9" t="s">
        <v>302</v>
      </c>
      <c r="B3" t="s">
        <v>303</v>
      </c>
      <c r="C3" s="12"/>
      <c r="D3" s="9" t="s">
        <v>302</v>
      </c>
      <c r="E3" t="s">
        <v>304</v>
      </c>
      <c r="F3" s="12"/>
      <c r="G3" s="9" t="s">
        <v>302</v>
      </c>
      <c r="H3" t="s">
        <v>305</v>
      </c>
      <c r="I3" s="12"/>
      <c r="J3" s="9" t="s">
        <v>302</v>
      </c>
      <c r="K3" t="s">
        <v>306</v>
      </c>
    </row>
    <row r="4" spans="1:11" x14ac:dyDescent="0.35">
      <c r="A4" s="10" t="s">
        <v>299</v>
      </c>
      <c r="B4" s="13">
        <v>316</v>
      </c>
      <c r="C4" s="12"/>
      <c r="D4" s="10" t="s">
        <v>267</v>
      </c>
      <c r="E4" s="13">
        <v>245</v>
      </c>
      <c r="F4" s="12"/>
      <c r="G4" s="10" t="s">
        <v>299</v>
      </c>
      <c r="H4" s="11">
        <v>0.63200000000000001</v>
      </c>
      <c r="I4" s="12"/>
      <c r="J4" s="10" t="s">
        <v>299</v>
      </c>
      <c r="K4" s="11">
        <v>0.36799999999999999</v>
      </c>
    </row>
    <row r="5" spans="1:11" x14ac:dyDescent="0.35">
      <c r="A5" s="10" t="s">
        <v>219</v>
      </c>
      <c r="B5" s="13">
        <v>318</v>
      </c>
      <c r="C5" s="12"/>
      <c r="D5" s="10" t="s">
        <v>235</v>
      </c>
      <c r="E5" s="13">
        <v>211</v>
      </c>
      <c r="F5" s="12"/>
      <c r="G5" s="10" t="s">
        <v>219</v>
      </c>
      <c r="H5" s="11">
        <v>0.63600000000000001</v>
      </c>
      <c r="I5" s="12"/>
      <c r="J5" s="10" t="s">
        <v>219</v>
      </c>
      <c r="K5" s="11">
        <v>0.36399999999999999</v>
      </c>
    </row>
    <row r="6" spans="1:11" x14ac:dyDescent="0.35">
      <c r="A6" s="10" t="s">
        <v>187</v>
      </c>
      <c r="B6" s="13">
        <v>384</v>
      </c>
      <c r="C6" s="12"/>
      <c r="D6" s="10" t="s">
        <v>123</v>
      </c>
      <c r="E6" s="13">
        <v>249</v>
      </c>
      <c r="F6" s="12"/>
      <c r="G6" s="10" t="s">
        <v>187</v>
      </c>
      <c r="H6" s="11">
        <v>0.76800000000000002</v>
      </c>
      <c r="I6" s="12"/>
      <c r="J6" s="10" t="s">
        <v>187</v>
      </c>
      <c r="K6" s="11">
        <v>0.23199999999999998</v>
      </c>
    </row>
    <row r="7" spans="1:11" x14ac:dyDescent="0.35">
      <c r="A7" s="10" t="s">
        <v>75</v>
      </c>
      <c r="B7" s="13">
        <v>324</v>
      </c>
      <c r="C7" s="12"/>
      <c r="D7" s="10" t="s">
        <v>107</v>
      </c>
      <c r="E7" s="13">
        <v>213</v>
      </c>
      <c r="F7" s="12"/>
      <c r="G7" s="10" t="s">
        <v>75</v>
      </c>
      <c r="H7" s="11">
        <v>0.64800000000000002</v>
      </c>
      <c r="I7" s="12"/>
      <c r="J7" s="10" t="s">
        <v>75</v>
      </c>
      <c r="K7" s="11">
        <v>0.35199999999999998</v>
      </c>
    </row>
    <row r="8" spans="1:11" x14ac:dyDescent="0.35">
      <c r="A8" s="10" t="s">
        <v>43</v>
      </c>
      <c r="B8" s="13">
        <v>376</v>
      </c>
      <c r="C8" s="12"/>
      <c r="D8" s="10" t="s">
        <v>91</v>
      </c>
      <c r="E8" s="13">
        <v>214</v>
      </c>
      <c r="F8" s="12"/>
      <c r="G8" s="10" t="s">
        <v>43</v>
      </c>
      <c r="H8" s="11">
        <v>0.752</v>
      </c>
      <c r="I8" s="12"/>
      <c r="J8" s="10" t="s">
        <v>43</v>
      </c>
      <c r="K8" s="11">
        <v>0.248</v>
      </c>
    </row>
    <row r="9" spans="1:11" x14ac:dyDescent="0.35">
      <c r="A9" s="12"/>
      <c r="B9" s="12"/>
      <c r="C9" s="12"/>
      <c r="D9" s="12"/>
      <c r="E9" s="12"/>
      <c r="F9" s="12"/>
      <c r="G9" s="12"/>
      <c r="H9" s="12"/>
      <c r="I9" s="12"/>
      <c r="J9" s="12"/>
      <c r="K9" s="12"/>
    </row>
    <row r="10" spans="1:11" x14ac:dyDescent="0.35">
      <c r="A10" s="12"/>
      <c r="B10" s="12"/>
      <c r="C10" s="12"/>
      <c r="D10" s="12"/>
      <c r="F10" s="12"/>
      <c r="G10" s="12"/>
      <c r="H10" s="12"/>
      <c r="I10" s="12"/>
      <c r="J10" s="12"/>
      <c r="K10" s="12"/>
    </row>
    <row r="11" spans="1:11" x14ac:dyDescent="0.35">
      <c r="F11" s="12"/>
      <c r="G11" s="12"/>
      <c r="H11" s="12"/>
      <c r="I11" s="12"/>
      <c r="J11" s="12"/>
      <c r="K11" s="12"/>
    </row>
    <row r="12" spans="1:11" x14ac:dyDescent="0.35">
      <c r="F12" s="12"/>
      <c r="G12" s="12"/>
      <c r="H12" s="12"/>
      <c r="I12" s="12"/>
      <c r="J12" s="12"/>
      <c r="K12" s="12"/>
    </row>
    <row r="13" spans="1:11" x14ac:dyDescent="0.35">
      <c r="F13" s="12"/>
      <c r="G13" s="12"/>
      <c r="H13" s="12"/>
      <c r="I13" s="12"/>
      <c r="J13" s="12"/>
      <c r="K13" s="12"/>
    </row>
    <row r="14" spans="1:11" x14ac:dyDescent="0.35">
      <c r="F14" s="12"/>
      <c r="G14" s="12"/>
      <c r="H14" s="12"/>
      <c r="I14" s="12"/>
      <c r="J14" s="12"/>
      <c r="K14" s="12"/>
    </row>
    <row r="15" spans="1:11" x14ac:dyDescent="0.35">
      <c r="F15" s="12"/>
      <c r="G15" s="12"/>
      <c r="H15" s="12"/>
      <c r="I15" s="12"/>
      <c r="J15" s="12"/>
      <c r="K15" s="12"/>
    </row>
    <row r="16" spans="1:11" x14ac:dyDescent="0.35">
      <c r="F16" s="12"/>
      <c r="G16" s="12"/>
      <c r="H16" s="12"/>
      <c r="I16" s="12"/>
      <c r="J16" s="12"/>
      <c r="K16" s="12"/>
    </row>
    <row r="17" spans="1:11" x14ac:dyDescent="0.35">
      <c r="F17" s="12"/>
      <c r="G17" s="12"/>
      <c r="H17" s="12"/>
      <c r="I17" s="12"/>
      <c r="J17" s="12"/>
      <c r="K17" s="12"/>
    </row>
    <row r="18" spans="1:11" x14ac:dyDescent="0.35">
      <c r="F18" s="12"/>
      <c r="G18" s="12"/>
      <c r="H18" s="12"/>
      <c r="I18" s="12"/>
      <c r="J18" s="12"/>
      <c r="K18" s="12"/>
    </row>
    <row r="19" spans="1:11" x14ac:dyDescent="0.35">
      <c r="F19" s="12"/>
      <c r="G19" s="12"/>
      <c r="H19" s="12"/>
      <c r="I19" s="12"/>
      <c r="J19" s="12"/>
      <c r="K19" s="12"/>
    </row>
    <row r="20" spans="1:11" x14ac:dyDescent="0.35">
      <c r="A20" s="12"/>
      <c r="B20" s="12"/>
      <c r="C20" s="12"/>
      <c r="D20" s="12"/>
      <c r="E20" s="12"/>
      <c r="F20" s="12"/>
      <c r="G20" s="12"/>
      <c r="H20" s="12"/>
      <c r="I20" s="12"/>
      <c r="J20" s="12"/>
      <c r="K20"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488950</xdr:colOff>
                    <xdr:row>1</xdr:row>
                    <xdr:rowOff>330200</xdr:rowOff>
                  </from>
                  <to>
                    <xdr:col>1</xdr:col>
                    <xdr:colOff>196850</xdr:colOff>
                    <xdr:row>1</xdr:row>
                    <xdr:rowOff>571500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3</xdr:col>
                    <xdr:colOff>539750</xdr:colOff>
                    <xdr:row>1</xdr:row>
                    <xdr:rowOff>330200</xdr:rowOff>
                  </from>
                  <to>
                    <xdr:col>4</xdr:col>
                    <xdr:colOff>317500</xdr:colOff>
                    <xdr:row>1</xdr:row>
                    <xdr:rowOff>590550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6</xdr:col>
                    <xdr:colOff>660400</xdr:colOff>
                    <xdr:row>1</xdr:row>
                    <xdr:rowOff>361950</xdr:rowOff>
                  </from>
                  <to>
                    <xdr:col>7</xdr:col>
                    <xdr:colOff>298450</xdr:colOff>
                    <xdr:row>1</xdr:row>
                    <xdr:rowOff>539750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9</xdr:col>
                    <xdr:colOff>742950</xdr:colOff>
                    <xdr:row>1</xdr:row>
                    <xdr:rowOff>336550</xdr:rowOff>
                  </from>
                  <to>
                    <xdr:col>10</xdr:col>
                    <xdr:colOff>419100</xdr:colOff>
                    <xdr:row>1</xdr:row>
                    <xdr:rowOff>584200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20E6B-7356-4221-B6CC-092CEA921B3E}">
  <sheetPr codeName="Sheet2"/>
  <dimension ref="A1:L142"/>
  <sheetViews>
    <sheetView workbookViewId="0">
      <selection activeCell="D3" sqref="D3"/>
    </sheetView>
  </sheetViews>
  <sheetFormatPr defaultRowHeight="14.5" x14ac:dyDescent="0.35"/>
  <cols>
    <col min="1" max="1" width="10.7265625" bestFit="1" customWidth="1"/>
    <col min="2" max="2" width="19.81640625" bestFit="1" customWidth="1"/>
    <col min="3" max="3" width="7.81640625" bestFit="1" customWidth="1"/>
    <col min="5" max="5" width="4.6328125" bestFit="1" customWidth="1"/>
    <col min="7" max="8" width="4.6328125" bestFit="1" customWidth="1"/>
    <col min="11" max="11" width="10.1796875" bestFit="1" customWidth="1"/>
    <col min="12" max="12" width="16.5429687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400</v>
      </c>
      <c r="E2" s="4">
        <v>84</v>
      </c>
      <c r="F2" s="4">
        <v>98</v>
      </c>
      <c r="G2" s="4">
        <v>67</v>
      </c>
      <c r="H2" s="4">
        <v>41</v>
      </c>
      <c r="I2" s="5">
        <f>SUM(D2:H2)</f>
        <v>690</v>
      </c>
      <c r="J2" s="5">
        <v>500</v>
      </c>
      <c r="K2" s="6">
        <f>I2/J2</f>
        <v>1.38</v>
      </c>
      <c r="L2" s="7">
        <f>100%-K2</f>
        <v>-0.37999999999999989</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DB</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 Garg</dc:creator>
  <cp:lastModifiedBy>Deep Garg</cp:lastModifiedBy>
  <dcterms:created xsi:type="dcterms:W3CDTF">2025-03-19T18:23:04Z</dcterms:created>
  <dcterms:modified xsi:type="dcterms:W3CDTF">2025-10-12T13:22:19Z</dcterms:modified>
</cp:coreProperties>
</file>